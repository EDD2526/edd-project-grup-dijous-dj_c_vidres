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" sheetId="1" r:id="rId5"/>
  </sheets>
  <definedNames/>
  <calcPr/>
</workbook>
</file>

<file path=xl/sharedStrings.xml><?xml version="1.0" encoding="utf-8"?>
<sst xmlns="http://schemas.openxmlformats.org/spreadsheetml/2006/main" count="57" uniqueCount="41">
  <si>
    <t>Component</t>
  </si>
  <si>
    <t>Descripció</t>
  </si>
  <si>
    <t>Ref. Fabricant</t>
  </si>
  <si>
    <t>Package</t>
  </si>
  <si>
    <t>Datasheet</t>
  </si>
  <si>
    <t>Proveïdor</t>
  </si>
  <si>
    <t>Preu</t>
  </si>
  <si>
    <t>Unitats</t>
  </si>
  <si>
    <t>PIC32MX254F128F</t>
  </si>
  <si>
    <t>Microcontrolador</t>
  </si>
  <si>
    <t>579-32MX250F128BIML</t>
  </si>
  <si>
    <t>Microchip</t>
  </si>
  <si>
    <t>1x</t>
  </si>
  <si>
    <t>LM1117 3.3V</t>
  </si>
  <si>
    <t>Regulador</t>
  </si>
  <si>
    <t>926-LM1117DTX3.3NOPB</t>
  </si>
  <si>
    <t>Mouser</t>
  </si>
  <si>
    <t>VNH5019A-E</t>
  </si>
  <si>
    <t>H-Bridge (Drivers)</t>
  </si>
  <si>
    <t>511-VNH5019A-E</t>
  </si>
  <si>
    <t xml:space="preserve">ACI 83094 </t>
  </si>
  <si>
    <t>Motor alçavidres</t>
  </si>
  <si>
    <t>AutoZone</t>
  </si>
  <si>
    <t>2x</t>
  </si>
  <si>
    <t>CINCHING LATCH MOTOR</t>
  </si>
  <si>
    <t>Motor actuador porta</t>
  </si>
  <si>
    <t>Johnson Electronics</t>
  </si>
  <si>
    <t>2X</t>
  </si>
  <si>
    <t>RC522</t>
  </si>
  <si>
    <t>Lector RFID</t>
  </si>
  <si>
    <t>Modulo RFID RC522</t>
  </si>
  <si>
    <t>ElectroComponentes</t>
  </si>
  <si>
    <t>SN65HVD230</t>
  </si>
  <si>
    <t>Transceptor CAN</t>
  </si>
  <si>
    <t>595-SN65HVD230DR</t>
  </si>
  <si>
    <t>SS-5GLD</t>
  </si>
  <si>
    <t>Sensor final de carrera</t>
  </si>
  <si>
    <t>653-SS-5GLD</t>
  </si>
  <si>
    <t>LM2596S-5.0</t>
  </si>
  <si>
    <t>DC-DC</t>
  </si>
  <si>
    <t>926-LM2596S-ADJ/NOPB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</si>
</sst>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16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BOM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H11" displayName="Tabla_1" name="Tabla_1" id="1">
  <tableColumns count="8">
    <tableColumn name="Component" id="1"/>
    <tableColumn name="Descripció" id="2"/>
    <tableColumn name="Ref. Fabricant" id="3"/>
    <tableColumn name="Package" id="4"/>
    <tableColumn name="Datasheet" id="5"/>
    <tableColumn name="Proveïdor" id="6"/>
    <tableColumn name="Preu" id="7"/>
    <tableColumn name="Unitats" id="8"/>
  </tableColumns>
  <tableStyleInfo name="BOM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mouser.es/ProductDetail/Texas-Instruments/SN65HVD230DR?qs=QViXGNcIEAtifeQR3pYVUQ%3D%3D" TargetMode="External"/><Relationship Id="rId10" Type="http://schemas.openxmlformats.org/officeDocument/2006/relationships/hyperlink" Target="https://www.ti.com/lit/ds/symlink/sn65hvd232.pdf?ts=1773819356784&amp;ref_url=https%253A%252F%252Fwww.mouser.es%252F" TargetMode="External"/><Relationship Id="rId13" Type="http://schemas.openxmlformats.org/officeDocument/2006/relationships/hyperlink" Target="https://www.mouser.es/ProductDetail/Omron-Electronics/SS-5GLD?qs=0w99tykdtPIPkyQBY6Ojgw%3D%3D" TargetMode="External"/><Relationship Id="rId12" Type="http://schemas.openxmlformats.org/officeDocument/2006/relationships/hyperlink" Target="https://www.mouser.es/datasheet/3/39/1/B032-E1.pdf" TargetMode="External"/><Relationship Id="rId1" Type="http://schemas.openxmlformats.org/officeDocument/2006/relationships/hyperlink" Target="https://ww1.microchip.com/downloads/aemDocuments/documents/MCU32/ProductDocuments/DataSheets/PIC32MX1XX2XX_XLP_Family_Datasheet_DS60001404E.pdf" TargetMode="External"/><Relationship Id="rId2" Type="http://schemas.openxmlformats.org/officeDocument/2006/relationships/hyperlink" Target="https://www.microchip.com/en-us/product/PIC32MX254F128B" TargetMode="External"/><Relationship Id="rId3" Type="http://schemas.openxmlformats.org/officeDocument/2006/relationships/hyperlink" Target="https://www.ti.com/lit/ds/symlink/lm1117.pdf?ts=1773808432939&amp;ref_url=https%253A%252F%252Fapp.ultralibrarian.com%252F" TargetMode="External"/><Relationship Id="rId4" Type="http://schemas.openxmlformats.org/officeDocument/2006/relationships/hyperlink" Target="https://www.mouser.es/ProductDetail/Texas-Instruments/LM1117DTX-3.3-NOPB?qs=X1J7HmVL2ZFMDtR97FJi7A%3D%3D" TargetMode="External"/><Relationship Id="rId9" Type="http://schemas.openxmlformats.org/officeDocument/2006/relationships/hyperlink" Target="https://www.electrocomponentes.es/modulos/825-modulo-rfid-rc522-1356mhz-33v-con-tarjeta-y-llavero.html" TargetMode="External"/><Relationship Id="rId15" Type="http://schemas.openxmlformats.org/officeDocument/2006/relationships/hyperlink" Target="https://www.mouser.es/ProductDetail/Texas-Instruments/LM2596S-ADJ-NOPB?qs=X1J7HmVL2ZHoMN0DLDcNog%3D%3D&amp;mgh=1&amp;vip=1&amp;utm_id=19103542967&amp;utm_source=google&amp;utm_medium=cpc&amp;utm_marketing_tactic=emeacorp&amp;gad_source=1&amp;gad_campaignid=19103548274&amp;gbraid=0AAAAADn_wf21Lx6gsumnp5_KdylcLHqov&amp;gclid=Cj0KCQjwve7NBhC-ARIsALZy9HWg84k7DYxdtPLh-nG95uZceAubs-z0KWFZhJT4_cwjGD5R7ekq2rQaAq3rEALw_wcB" TargetMode="External"/><Relationship Id="rId14" Type="http://schemas.openxmlformats.org/officeDocument/2006/relationships/hyperlink" Target="https://www.ti.com/lit/ds/symlink/lm2596.pdf?ts=1773862608797&amp;ref_url=https%253A%252F%252Fwww.mouser.fr%252F" TargetMode="External"/><Relationship Id="rId16" Type="http://schemas.openxmlformats.org/officeDocument/2006/relationships/drawing" Target="../drawings/drawing1.xml"/><Relationship Id="rId5" Type="http://schemas.openxmlformats.org/officeDocument/2006/relationships/hyperlink" Target="https://www.st.com/resource/en/datasheet/vnh5019a-e.pdf" TargetMode="External"/><Relationship Id="rId6" Type="http://schemas.openxmlformats.org/officeDocument/2006/relationships/hyperlink" Target="https://www.mouser.es/ProductDetail/STMicroelectronics/VNH5019A-E?qs=vV0pr1uq7fB8hoIFkGw2pA%3D%3D" TargetMode="External"/><Relationship Id="rId18" Type="http://schemas.openxmlformats.org/officeDocument/2006/relationships/table" Target="../tables/table1.xml"/><Relationship Id="rId7" Type="http://schemas.openxmlformats.org/officeDocument/2006/relationships/hyperlink" Target="https://www.autozone.com/p/aci-window-motor-83094/972601" TargetMode="External"/><Relationship Id="rId8" Type="http://schemas.openxmlformats.org/officeDocument/2006/relationships/hyperlink" Target="https://shop.johnsonelectric.com/products/cinching-latch-mo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18.88"/>
    <col customWidth="1" min="3" max="3" width="22.13"/>
    <col customWidth="1" min="5" max="5" width="13.13"/>
    <col customWidth="1" min="6" max="6" width="17.38"/>
  </cols>
  <sheetData>
    <row r="2" ht="22.5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22.5" customHeight="1">
      <c r="A3" s="2" t="s">
        <v>8</v>
      </c>
      <c r="B3" s="2" t="s">
        <v>9</v>
      </c>
      <c r="C3" s="2" t="s">
        <v>10</v>
      </c>
      <c r="D3" s="2"/>
      <c r="E3" s="3" t="s">
        <v>4</v>
      </c>
      <c r="F3" s="3" t="s">
        <v>11</v>
      </c>
      <c r="G3" s="4">
        <v>4.31</v>
      </c>
      <c r="H3" s="2" t="s">
        <v>12</v>
      </c>
    </row>
    <row r="4" ht="22.5" customHeight="1">
      <c r="A4" s="2" t="s">
        <v>13</v>
      </c>
      <c r="B4" s="2" t="s">
        <v>14</v>
      </c>
      <c r="C4" s="2" t="s">
        <v>15</v>
      </c>
      <c r="D4" s="5"/>
      <c r="E4" s="3" t="s">
        <v>4</v>
      </c>
      <c r="F4" s="3" t="s">
        <v>16</v>
      </c>
      <c r="G4" s="4">
        <v>1.47</v>
      </c>
      <c r="H4" s="2" t="s">
        <v>12</v>
      </c>
    </row>
    <row r="5" ht="22.5" customHeight="1">
      <c r="A5" s="2" t="s">
        <v>17</v>
      </c>
      <c r="B5" s="2" t="s">
        <v>18</v>
      </c>
      <c r="C5" s="2" t="s">
        <v>19</v>
      </c>
      <c r="D5" s="5"/>
      <c r="E5" s="3" t="s">
        <v>4</v>
      </c>
      <c r="F5" s="3" t="s">
        <v>16</v>
      </c>
      <c r="G5" s="4">
        <v>7.93</v>
      </c>
      <c r="H5" s="2" t="s">
        <v>12</v>
      </c>
    </row>
    <row r="6" ht="22.5" customHeight="1">
      <c r="A6" s="2" t="s">
        <v>20</v>
      </c>
      <c r="B6" s="2" t="s">
        <v>21</v>
      </c>
      <c r="C6" s="5"/>
      <c r="D6" s="5"/>
      <c r="E6" s="5"/>
      <c r="F6" s="3" t="s">
        <v>22</v>
      </c>
      <c r="G6" s="4">
        <v>74.99</v>
      </c>
      <c r="H6" s="2" t="s">
        <v>23</v>
      </c>
    </row>
    <row r="7" ht="22.5" customHeight="1">
      <c r="A7" s="2" t="s">
        <v>24</v>
      </c>
      <c r="B7" s="2" t="s">
        <v>25</v>
      </c>
      <c r="C7" s="5"/>
      <c r="D7" s="5"/>
      <c r="E7" s="5"/>
      <c r="F7" s="3" t="s">
        <v>26</v>
      </c>
      <c r="G7" s="4">
        <v>30.0</v>
      </c>
      <c r="H7" s="2" t="s">
        <v>27</v>
      </c>
    </row>
    <row r="8" ht="22.5" customHeight="1">
      <c r="A8" s="2" t="s">
        <v>28</v>
      </c>
      <c r="B8" s="2" t="s">
        <v>29</v>
      </c>
      <c r="C8" s="2" t="s">
        <v>30</v>
      </c>
      <c r="D8" s="5"/>
      <c r="E8" s="6"/>
      <c r="F8" s="3" t="s">
        <v>31</v>
      </c>
      <c r="G8" s="4">
        <v>2.2</v>
      </c>
      <c r="H8" s="2" t="s">
        <v>12</v>
      </c>
    </row>
    <row r="9" ht="22.5" customHeight="1">
      <c r="A9" s="2" t="s">
        <v>32</v>
      </c>
      <c r="B9" s="2" t="s">
        <v>33</v>
      </c>
      <c r="C9" s="2" t="s">
        <v>34</v>
      </c>
      <c r="D9" s="5"/>
      <c r="E9" s="3" t="s">
        <v>4</v>
      </c>
      <c r="F9" s="3" t="s">
        <v>16</v>
      </c>
      <c r="G9" s="4">
        <v>1.87</v>
      </c>
      <c r="H9" s="2" t="s">
        <v>12</v>
      </c>
    </row>
    <row r="10" ht="22.5" customHeight="1">
      <c r="A10" s="2" t="s">
        <v>35</v>
      </c>
      <c r="B10" s="2" t="s">
        <v>36</v>
      </c>
      <c r="C10" s="2" t="s">
        <v>37</v>
      </c>
      <c r="D10" s="5"/>
      <c r="E10" s="3" t="s">
        <v>4</v>
      </c>
      <c r="F10" s="3" t="s">
        <v>16</v>
      </c>
      <c r="G10" s="4">
        <v>2.15</v>
      </c>
      <c r="H10" s="2" t="s">
        <v>12</v>
      </c>
    </row>
    <row r="11" ht="22.5" customHeight="1">
      <c r="A11" s="2" t="s">
        <v>38</v>
      </c>
      <c r="B11" s="2" t="s">
        <v>39</v>
      </c>
      <c r="C11" s="2" t="s">
        <v>40</v>
      </c>
      <c r="D11" s="2"/>
      <c r="E11" s="3" t="s">
        <v>4</v>
      </c>
      <c r="F11" s="3" t="s">
        <v>16</v>
      </c>
      <c r="G11" s="4">
        <v>5.99</v>
      </c>
      <c r="H11" s="2" t="s">
        <v>12</v>
      </c>
    </row>
    <row r="12">
      <c r="A12" s="7"/>
      <c r="B12" s="7"/>
      <c r="C12" s="7"/>
      <c r="D12" s="7"/>
      <c r="E12" s="7"/>
      <c r="F12" s="7"/>
      <c r="G12" s="8"/>
      <c r="H12" s="7"/>
    </row>
    <row r="13">
      <c r="A13" s="7"/>
      <c r="B13" s="7"/>
      <c r="C13" s="7"/>
      <c r="D13" s="7"/>
      <c r="E13" s="7"/>
      <c r="F13" s="7"/>
      <c r="G13" s="8"/>
      <c r="H13" s="7"/>
    </row>
    <row r="14">
      <c r="A14" s="7"/>
      <c r="B14" s="7"/>
      <c r="C14" s="7"/>
      <c r="D14" s="7"/>
      <c r="E14" s="7"/>
      <c r="F14" s="7"/>
      <c r="G14" s="8"/>
      <c r="H14" s="7"/>
    </row>
    <row r="15">
      <c r="A15" s="7"/>
      <c r="B15" s="7"/>
      <c r="C15" s="7"/>
      <c r="D15" s="7"/>
      <c r="E15" s="7"/>
      <c r="F15" s="7"/>
      <c r="G15" s="8"/>
      <c r="H15" s="7"/>
    </row>
    <row r="16">
      <c r="A16" s="7"/>
      <c r="B16" s="7"/>
      <c r="C16" s="7"/>
      <c r="D16" s="7"/>
      <c r="E16" s="7"/>
      <c r="F16" s="7"/>
      <c r="G16" s="7"/>
      <c r="H16" s="7"/>
    </row>
    <row r="17">
      <c r="A17" s="9"/>
      <c r="B17" s="9"/>
      <c r="C17" s="9"/>
      <c r="D17" s="9"/>
      <c r="E17" s="9"/>
      <c r="F17" s="9"/>
      <c r="G17" s="10"/>
      <c r="H17" s="9"/>
    </row>
    <row r="18">
      <c r="A18" s="9"/>
      <c r="B18" s="9"/>
      <c r="C18" s="9"/>
      <c r="D18" s="9"/>
      <c r="E18" s="9"/>
      <c r="F18" s="9"/>
      <c r="G18" s="10"/>
      <c r="H18" s="9"/>
    </row>
    <row r="19">
      <c r="A19" s="9"/>
      <c r="B19" s="9"/>
      <c r="C19" s="9"/>
      <c r="D19" s="9"/>
      <c r="E19" s="9"/>
      <c r="F19" s="9"/>
      <c r="G19" s="10"/>
      <c r="H19" s="9"/>
    </row>
    <row r="20">
      <c r="A20" s="9"/>
      <c r="B20" s="9"/>
      <c r="C20" s="9"/>
      <c r="D20" s="9"/>
      <c r="E20" s="9"/>
      <c r="F20" s="9"/>
      <c r="G20" s="10"/>
      <c r="H20" s="9"/>
    </row>
    <row r="21">
      <c r="A21" s="9"/>
      <c r="B21" s="9"/>
      <c r="C21" s="9"/>
      <c r="D21" s="9"/>
      <c r="E21" s="9"/>
      <c r="F21" s="9"/>
      <c r="G21" s="10"/>
      <c r="H21" s="9"/>
    </row>
    <row r="22">
      <c r="G22" s="11"/>
    </row>
  </sheetData>
  <dataValidations>
    <dataValidation type="custom" allowBlank="1" showDropDown="1" sqref="G3:G11">
      <formula1>AND(ISNUMBER(G3),(NOT(OR(NOT(ISERROR(DATEVALUE(G3))), AND(ISNUMBER(G3), LEFT(CELL("format", G3))="D")))))</formula1>
    </dataValidation>
  </dataValidations>
  <hyperlinks>
    <hyperlink r:id="rId1" ref="E3"/>
    <hyperlink r:id="rId2" ref="F3"/>
    <hyperlink r:id="rId3" ref="E4"/>
    <hyperlink r:id="rId4" ref="F4"/>
    <hyperlink r:id="rId5" ref="E5"/>
    <hyperlink r:id="rId6" ref="F5"/>
    <hyperlink r:id="rId7" ref="F6"/>
    <hyperlink r:id="rId8" ref="F7"/>
    <hyperlink r:id="rId9" ref="F8"/>
    <hyperlink r:id="rId10" ref="E9"/>
    <hyperlink r:id="rId11" ref="F9"/>
    <hyperlink r:id="rId12" ref="E10"/>
    <hyperlink r:id="rId13" ref="F10"/>
    <hyperlink r:id="rId14" ref="E11"/>
    <hyperlink r:id="rId15" ref="F11"/>
  </hyperlinks>
  <drawing r:id="rId16"/>
  <tableParts count="1">
    <tablePart r:id="rId18"/>
  </tableParts>
</worksheet>
</file>